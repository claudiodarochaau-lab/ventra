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laudiodarocha/Documents/ventra-marketing/Products/"/>
    </mc:Choice>
  </mc:AlternateContent>
  <xr:revisionPtr revIDLastSave="0" documentId="8_{8B7FB2AA-8003-3D43-8FC6-0C0E92EF115D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Pricing Model" sheetId="1" r:id="rId1"/>
  </sheets>
  <definedNames>
    <definedName name="_xlnm.Print_Titles" localSheetId="0">'Pricing Model'!$1:$5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9" i="1" l="1"/>
  <c r="I38" i="1"/>
  <c r="D38" i="1"/>
  <c r="F33" i="1"/>
  <c r="F28" i="1"/>
  <c r="C28" i="1"/>
  <c r="I25" i="1"/>
  <c r="I40" i="1" s="1"/>
  <c r="H25" i="1"/>
  <c r="H40" i="1" s="1"/>
  <c r="G25" i="1"/>
  <c r="G40" i="1" s="1"/>
  <c r="F25" i="1"/>
  <c r="F40" i="1" s="1"/>
  <c r="E25" i="1"/>
  <c r="E40" i="1" s="1"/>
  <c r="D25" i="1"/>
  <c r="D40" i="1" s="1"/>
  <c r="C25" i="1"/>
  <c r="C40" i="1" s="1"/>
  <c r="E20" i="1"/>
  <c r="E29" i="1" s="1"/>
  <c r="D20" i="1"/>
  <c r="D29" i="1" s="1"/>
  <c r="I19" i="1"/>
  <c r="I20" i="1" s="1"/>
  <c r="I29" i="1" s="1"/>
  <c r="H19" i="1"/>
  <c r="H34" i="1" s="1"/>
  <c r="G19" i="1"/>
  <c r="G34" i="1" s="1"/>
  <c r="F19" i="1"/>
  <c r="F39" i="1" s="1"/>
  <c r="E19" i="1"/>
  <c r="E34" i="1" s="1"/>
  <c r="D19" i="1"/>
  <c r="D34" i="1" s="1"/>
  <c r="C19" i="1"/>
  <c r="C34" i="1" s="1"/>
  <c r="I13" i="1"/>
  <c r="H13" i="1"/>
  <c r="H38" i="1" s="1"/>
  <c r="G13" i="1"/>
  <c r="G38" i="1" s="1"/>
  <c r="F13" i="1"/>
  <c r="F38" i="1" s="1"/>
  <c r="E13" i="1"/>
  <c r="E38" i="1" s="1"/>
  <c r="D13" i="1"/>
  <c r="C13" i="1"/>
  <c r="C38" i="1" s="1"/>
  <c r="I12" i="1"/>
  <c r="I28" i="1" s="1"/>
  <c r="I30" i="1" s="1"/>
  <c r="H12" i="1"/>
  <c r="H28" i="1" s="1"/>
  <c r="G12" i="1"/>
  <c r="G28" i="1" s="1"/>
  <c r="F12" i="1"/>
  <c r="E12" i="1"/>
  <c r="E28" i="1" s="1"/>
  <c r="E30" i="1" s="1"/>
  <c r="D12" i="1"/>
  <c r="D28" i="1" s="1"/>
  <c r="D30" i="1" s="1"/>
  <c r="C12" i="1"/>
  <c r="C33" i="1" s="1"/>
  <c r="C35" i="1" s="1"/>
  <c r="E41" i="1" l="1"/>
  <c r="C30" i="1"/>
  <c r="F30" i="1"/>
  <c r="F41" i="1"/>
  <c r="I41" i="1"/>
  <c r="G41" i="1"/>
  <c r="C20" i="1"/>
  <c r="C29" i="1" s="1"/>
  <c r="D33" i="1"/>
  <c r="D35" i="1" s="1"/>
  <c r="I34" i="1"/>
  <c r="E33" i="1"/>
  <c r="E35" i="1" s="1"/>
  <c r="F20" i="1"/>
  <c r="F29" i="1" s="1"/>
  <c r="G33" i="1"/>
  <c r="G35" i="1" s="1"/>
  <c r="C39" i="1"/>
  <c r="C41" i="1" s="1"/>
  <c r="F34" i="1"/>
  <c r="F35" i="1" s="1"/>
  <c r="G20" i="1"/>
  <c r="G29" i="1" s="1"/>
  <c r="G30" i="1" s="1"/>
  <c r="H33" i="1"/>
  <c r="H35" i="1" s="1"/>
  <c r="D39" i="1"/>
  <c r="D41" i="1" s="1"/>
  <c r="H20" i="1"/>
  <c r="H29" i="1" s="1"/>
  <c r="H30" i="1" s="1"/>
  <c r="I33" i="1"/>
  <c r="E39" i="1"/>
  <c r="G39" i="1"/>
  <c r="H39" i="1"/>
  <c r="H41" i="1" s="1"/>
  <c r="I35" i="1" l="1"/>
</calcChain>
</file>

<file path=xl/sharedStrings.xml><?xml version="1.0" encoding="utf-8"?>
<sst xmlns="http://schemas.openxmlformats.org/spreadsheetml/2006/main" count="80" uniqueCount="74">
  <si>
    <t>FRANKE COFFEE SYSTEMS — PRICING BUILD MODEL</t>
  </si>
  <si>
    <t>Source: CWE Wholesale Price List Jan 2026 &amp; PM Pricing effective 1 Sep 2025  |  All prices AUD, ex-GST</t>
  </si>
  <si>
    <t>Colour key:    Blue text = hardcoded input    |    Black text = formula    |    Yellow fill = key assumption — review before use</t>
  </si>
  <si>
    <t>A300 MS EC
(W3 — Tank)</t>
  </si>
  <si>
    <t>A300 MS EC
(W4 — Mains)</t>
  </si>
  <si>
    <t>A400 MS EC</t>
  </si>
  <si>
    <t>A600 MS EC</t>
  </si>
  <si>
    <t>A600 FM CM</t>
  </si>
  <si>
    <t>A600 FM EC</t>
  </si>
  <si>
    <t>A1000 FM CM</t>
  </si>
  <si>
    <t>Configuration</t>
  </si>
  <si>
    <t>W3 EC 1G 1P H1</t>
  </si>
  <si>
    <t>W4 EC 1G 1P H1</t>
  </si>
  <si>
    <t>MS EC 1G 1P H1 W2</t>
  </si>
  <si>
    <t>MS2 EC 1G 2P H1</t>
  </si>
  <si>
    <t>FM1 CM 1G 2P H1</t>
  </si>
  <si>
    <t>FM1 EC 1G 2P H1</t>
  </si>
  <si>
    <t>FM CM 1G 2P H1</t>
  </si>
  <si>
    <t>Milk Fridge Included in Machine Price?</t>
  </si>
  <si>
    <t>No (sold separately)</t>
  </si>
  <si>
    <t>Yes — SU05 FM1 5lt</t>
  </si>
  <si>
    <t>Yes — SU12 12lt Twin</t>
  </si>
  <si>
    <t>Yes — SU12 CM 12lt</t>
  </si>
  <si>
    <t xml:space="preserve">  1.  MACHINE PURCHASE COST   (AUD, ex-GST  |  Source: CWE Wholesale Price List, Jan 2026)</t>
  </si>
  <si>
    <t>RRP (ex-GST)</t>
  </si>
  <si>
    <t>Wholesale Price — WS (ex-GST)  ★ KEY INPUT</t>
  </si>
  <si>
    <t>Monthly Machine Payment  (WS ÷ 36 equal payments)</t>
  </si>
  <si>
    <t>Total Machine Cost over 36 Months</t>
  </si>
  <si>
    <t xml:space="preserve">  2.  PREVENTATIVE MAINTENANCE   (AUD, ex-GST  |  Source: CWE PM Pricing, 1 Sep 2025  |  Parts only — labour additional)</t>
  </si>
  <si>
    <t>Service Trigger</t>
  </si>
  <si>
    <t>40,000 cups or 24 mths</t>
  </si>
  <si>
    <t>30,000 cups or 12 mths</t>
  </si>
  <si>
    <t>40,000 cups or 12 mths</t>
  </si>
  <si>
    <t>TBC — no PM data</t>
  </si>
  <si>
    <t>PM Frequency (years)  [1=annual, 2=biennial]</t>
  </si>
  <si>
    <t>PM Cost per Service (ex-GST) — parts only  ★ KEY INPUT</t>
  </si>
  <si>
    <t>Annual PM Provision (amortised over frequency)</t>
  </si>
  <si>
    <t>Monthly PM Provision</t>
  </si>
  <si>
    <t xml:space="preserve">  3.  ONE-TIME SETUP COSTS   (AUD, RRP ex-GST  |  Note: WS pricing not available for setup costs)</t>
  </si>
  <si>
    <t>Commissioning &amp; Beverage Selection Programming (RRP)</t>
  </si>
  <si>
    <t>Installation — Sydney Metro  Mon–Fri 8:30am–2pm (RRP)</t>
  </si>
  <si>
    <t>Total One-Time Setup Cost</t>
  </si>
  <si>
    <t xml:space="preserve">  4.  MONTHLY COST SUMMARY</t>
  </si>
  <si>
    <t>Monthly Machine Payment (WS ÷ 36)</t>
  </si>
  <si>
    <t>Monthly PM Provision (amortised)</t>
  </si>
  <si>
    <t xml:space="preserve">  TOTAL MONTHLY RECURRING COST</t>
  </si>
  <si>
    <t xml:space="preserve">  5.  ANNUAL COST SUMMARY</t>
  </si>
  <si>
    <t>Annual Machine Cost  (Monthly × 12)</t>
  </si>
  <si>
    <t>Annual PM Cost (amortised)</t>
  </si>
  <si>
    <t xml:space="preserve">  TOTAL ANNUAL RECURRING COST</t>
  </si>
  <si>
    <t xml:space="preserve">  6.  36-MONTH TOTAL COST SUMMARY</t>
  </si>
  <si>
    <t>Total Machine Cost over 36 Months (WS price)</t>
  </si>
  <si>
    <t>Total PM Cost over 36 Months (amortised × 3 years)</t>
  </si>
  <si>
    <t>One-Time Setup Costs</t>
  </si>
  <si>
    <t xml:space="preserve">  GRAND TOTAL — 36 MONTHS  (machine + PM + setup)</t>
  </si>
  <si>
    <t xml:space="preserve">  7.  NOTES &amp; ASSUMPTIONS</t>
  </si>
  <si>
    <t xml:space="preserve">  • PM pricing — PARTS ONLY</t>
  </si>
  <si>
    <t>Labour and travel costs are NOT included. Contact CWE for rates. parts@cwe.com.au | Sydney +61 2 9533 2693 | Melbourne +61 3 9462 5055</t>
  </si>
  <si>
    <t xml:space="preserve">  • A300 MS — PM every 24 months</t>
  </si>
  <si>
    <t>Annual provision = $934.50 ÷ 2 = $467.25. Trigger = 40,000 cups OR 24 months, whichever comes first. Monthly provision = $38.94.</t>
  </si>
  <si>
    <t xml:space="preserve">  • A400 MS — PM every 12 months</t>
  </si>
  <si>
    <t>Trigger = 30,000 cups OR 12 months, whichever comes first. Higher cup trigger reflects more intensive use.</t>
  </si>
  <si>
    <t xml:space="preserve">  • A600 FM EC — two PM variants</t>
  </si>
  <si>
    <t>PPSU variant = $1,347.60 (default in this model).  AVS variant = $1,948.00.  Update Row 18 for A600 FM EC if AVS applies.</t>
  </si>
  <si>
    <t xml:space="preserve">  • A1000 FM CM — PM pricing TBC</t>
  </si>
  <si>
    <t>No PM pricing was available in the supplied CWE documents. Confirm with Franke / CWE before finalising.</t>
  </si>
  <si>
    <t xml:space="preserve">  • Milk fridge — A300, A400, A600 MS EC</t>
  </si>
  <si>
    <t>Milk fridge NOT included. Add separately: SU03 3lt WS $2,240 | SU05 5lt WS $2,960. A600 FM CM and FM EC include fridge in machine price.</t>
  </si>
  <si>
    <t xml:space="preserve">  • Water filtration kit (mains connection models)</t>
  </si>
  <si>
    <t>Required for W4 (mains) models: BRITA Filter Head WS $69.60 + C300 Cartridge WS $206.40 + Fittings WS $98.80 = $374.80 WS total. Not included above.</t>
  </si>
  <si>
    <t xml:space="preserve">  • Setup costs at RRP — no WS pricing available</t>
  </si>
  <si>
    <t>Commissioning $360 RRP and Installation $480 RRP are from CWE price list; no wholesale equivalent provided. Adjust when WS rates are confirmed.</t>
  </si>
  <si>
    <t xml:space="preserve">  • All prices ex-GST</t>
  </si>
  <si>
    <t>Add 10% GST for final customer-facing pricing as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</si>
</sst>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&quot;($&quot;#,##0.00\);\-"/>
    <numFmt numFmtId="165" formatCode="0.0;\(0.0\);\-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9"/>
      <color rgb="FF666666"/>
      <name val="Arial"/>
      <family val="2"/>
    </font>
    <font>
      <i/>
      <sz val="9"/>
      <color rgb="FF444444"/>
      <name val="Arial"/>
      <family val="2"/>
    </font>
    <font>
      <b/>
      <sz val="10"/>
      <color rgb="FFFFFFFF"/>
      <name val="Arial"/>
      <family val="2"/>
    </font>
    <font>
      <i/>
      <sz val="10"/>
      <color rgb="FF666666"/>
      <name val="Arial"/>
      <family val="2"/>
    </font>
    <font>
      <i/>
      <sz val="9"/>
      <color rgb="FF0000FF"/>
      <name val="Arial"/>
      <family val="2"/>
    </font>
    <font>
      <b/>
      <sz val="9"/>
      <color rgb="FFCC0000"/>
      <name val="Arial"/>
      <family val="2"/>
    </font>
    <font>
      <b/>
      <sz val="9"/>
      <color rgb="FF0064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9"/>
      <color rgb="FF1F4E79"/>
      <name val="Arial"/>
      <family val="2"/>
    </font>
    <font>
      <i/>
      <sz val="9"/>
      <color rgb="FF33333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BF3FB"/>
      </patternFill>
    </fill>
    <fill>
      <patternFill patternType="solid">
        <fgColor rgb="FFD9D9D9"/>
        <bgColor rgb="FFD6E4F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3" fillId="4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indent="1"/>
    </xf>
    <xf numFmtId="0" fontId="4" fillId="6" borderId="0" xfId="0" applyFont="1" applyFill="1" applyAlignment="1">
      <alignment horizontal="left" vertical="center" indent="1"/>
    </xf>
    <xf numFmtId="0" fontId="0" fillId="4" borderId="0" xfId="0" applyFill="1"/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/>
    </xf>
    <xf numFmtId="0" fontId="0" fillId="5" borderId="0" xfId="0" applyFill="1"/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left" vertical="center"/>
    </xf>
    <xf numFmtId="164" fontId="10" fillId="4" borderId="2" xfId="0" applyNumberFormat="1" applyFont="1" applyFill="1" applyBorder="1" applyAlignment="1">
      <alignment horizontal="right" vertical="center"/>
    </xf>
    <xf numFmtId="164" fontId="10" fillId="7" borderId="2" xfId="0" applyNumberFormat="1" applyFont="1" applyFill="1" applyBorder="1" applyAlignment="1">
      <alignment horizontal="right" vertical="center"/>
    </xf>
    <xf numFmtId="164" fontId="9" fillId="8" borderId="2" xfId="0" applyNumberFormat="1" applyFont="1" applyFill="1" applyBorder="1" applyAlignment="1">
      <alignment horizontal="right" vertical="center"/>
    </xf>
    <xf numFmtId="0" fontId="5" fillId="4" borderId="0" xfId="0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165" fontId="10" fillId="4" borderId="2" xfId="0" applyNumberFormat="1" applyFont="1" applyFill="1" applyBorder="1" applyAlignment="1">
      <alignment horizontal="right" vertical="center"/>
    </xf>
    <xf numFmtId="0" fontId="11" fillId="8" borderId="0" xfId="0" applyFont="1" applyFill="1" applyAlignment="1">
      <alignment horizontal="left" vertical="center"/>
    </xf>
    <xf numFmtId="0" fontId="0" fillId="8" borderId="0" xfId="0" applyFill="1"/>
    <xf numFmtId="164" fontId="11" fillId="9" borderId="2" xfId="0" applyNumberFormat="1" applyFont="1" applyFill="1" applyBorder="1" applyAlignment="1">
      <alignment horizontal="right" vertical="center"/>
    </xf>
    <xf numFmtId="0" fontId="9" fillId="8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444444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2"/>
  <sheetViews>
    <sheetView showGridLines="0" tabSelected="1" zoomScale="135" zoomScaleNormal="100" workbookViewId="0">
      <pane xSplit="2" ySplit="5" topLeftCell="C47" activePane="bottomRight" state="frozen"/>
      <selection pane="topRight" activeCell="C1" sqref="C1"/>
      <selection pane="bottomLeft" activeCell="A6" sqref="A6"/>
      <selection pane="bottomRight" activeCell="B45" sqref="B45:I45"/>
    </sheetView>
  </sheetViews>
  <sheetFormatPr baseColWidth="10" defaultColWidth="8.6640625" defaultRowHeight="15" x14ac:dyDescent="0.2"/>
  <cols>
    <col min="1" max="1" width="42" customWidth="1"/>
    <col min="2" max="2" width="2" customWidth="1"/>
    <col min="3" max="9" width="21" customWidth="1"/>
  </cols>
  <sheetData>
    <row r="1" spans="1:9" ht="31.5" customHeight="1" x14ac:dyDescent="0.2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ht="15.75" customHeight="1" x14ac:dyDescent="0.2">
      <c r="A2" s="7" t="s">
        <v>1</v>
      </c>
      <c r="B2" s="7"/>
      <c r="C2" s="7"/>
      <c r="D2" s="7"/>
      <c r="E2" s="7"/>
      <c r="F2" s="7"/>
      <c r="G2" s="7"/>
      <c r="H2" s="7"/>
      <c r="I2" s="7"/>
    </row>
    <row r="3" spans="1:9" ht="15.75" customHeight="1" x14ac:dyDescent="0.2">
      <c r="A3" s="6" t="s">
        <v>2</v>
      </c>
      <c r="B3" s="6"/>
      <c r="C3" s="6"/>
      <c r="D3" s="6"/>
      <c r="E3" s="6"/>
      <c r="F3" s="6"/>
      <c r="G3" s="6"/>
      <c r="H3" s="6"/>
      <c r="I3" s="6"/>
    </row>
    <row r="4" spans="1:9" ht="6" customHeight="1" x14ac:dyDescent="0.2">
      <c r="A4" s="5"/>
      <c r="B4" s="5"/>
      <c r="C4" s="5"/>
      <c r="D4" s="5"/>
      <c r="E4" s="5"/>
      <c r="F4" s="5"/>
      <c r="G4" s="5"/>
      <c r="H4" s="5"/>
      <c r="I4" s="5"/>
    </row>
    <row r="5" spans="1:9" ht="43.5" customHeight="1" x14ac:dyDescent="0.2">
      <c r="A5" s="10"/>
      <c r="B5" s="10"/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  <c r="I5" s="11" t="s">
        <v>9</v>
      </c>
    </row>
    <row r="6" spans="1:9" ht="18" customHeight="1" x14ac:dyDescent="0.2">
      <c r="A6" s="12" t="s">
        <v>10</v>
      </c>
      <c r="B6" s="13"/>
      <c r="C6" s="14" t="s">
        <v>11</v>
      </c>
      <c r="D6" s="14" t="s">
        <v>12</v>
      </c>
      <c r="E6" s="14" t="s">
        <v>13</v>
      </c>
      <c r="F6" s="14" t="s">
        <v>14</v>
      </c>
      <c r="G6" s="14" t="s">
        <v>15</v>
      </c>
      <c r="H6" s="14" t="s">
        <v>16</v>
      </c>
      <c r="I6" s="14" t="s">
        <v>17</v>
      </c>
    </row>
    <row r="7" spans="1:9" ht="18" customHeight="1" x14ac:dyDescent="0.2">
      <c r="A7" s="12" t="s">
        <v>18</v>
      </c>
      <c r="B7" s="13"/>
      <c r="C7" s="15" t="s">
        <v>19</v>
      </c>
      <c r="D7" s="15" t="s">
        <v>19</v>
      </c>
      <c r="E7" s="15" t="s">
        <v>19</v>
      </c>
      <c r="F7" s="15" t="s">
        <v>19</v>
      </c>
      <c r="G7" s="16" t="s">
        <v>20</v>
      </c>
      <c r="H7" s="16" t="s">
        <v>21</v>
      </c>
      <c r="I7" s="16" t="s">
        <v>22</v>
      </c>
    </row>
    <row r="8" spans="1:9" ht="7.5" customHeight="1" x14ac:dyDescent="0.2">
      <c r="A8" s="5"/>
      <c r="B8" s="5"/>
      <c r="C8" s="5"/>
      <c r="D8" s="5"/>
      <c r="E8" s="5"/>
      <c r="F8" s="5"/>
      <c r="G8" s="5"/>
      <c r="H8" s="5"/>
      <c r="I8" s="5"/>
    </row>
    <row r="9" spans="1:9" ht="19.5" customHeight="1" x14ac:dyDescent="0.2">
      <c r="A9" s="4" t="s">
        <v>23</v>
      </c>
      <c r="B9" s="4"/>
      <c r="C9" s="4"/>
      <c r="D9" s="4"/>
      <c r="E9" s="4"/>
      <c r="F9" s="4"/>
      <c r="G9" s="4"/>
      <c r="H9" s="4"/>
      <c r="I9" s="4"/>
    </row>
    <row r="10" spans="1:9" ht="18" customHeight="1" x14ac:dyDescent="0.2">
      <c r="A10" s="17" t="s">
        <v>24</v>
      </c>
      <c r="B10" s="9"/>
      <c r="C10" s="18">
        <v>9700</v>
      </c>
      <c r="D10" s="18">
        <v>10300</v>
      </c>
      <c r="E10" s="18">
        <v>11950</v>
      </c>
      <c r="F10" s="18">
        <v>14400</v>
      </c>
      <c r="G10" s="18">
        <v>21600</v>
      </c>
      <c r="H10" s="18">
        <v>22800</v>
      </c>
      <c r="I10" s="18">
        <v>37800</v>
      </c>
    </row>
    <row r="11" spans="1:9" ht="18" customHeight="1" x14ac:dyDescent="0.2">
      <c r="A11" s="17" t="s">
        <v>25</v>
      </c>
      <c r="B11" s="9"/>
      <c r="C11" s="19">
        <v>7760</v>
      </c>
      <c r="D11" s="19">
        <v>8240</v>
      </c>
      <c r="E11" s="19">
        <v>9560</v>
      </c>
      <c r="F11" s="19">
        <v>11520</v>
      </c>
      <c r="G11" s="19">
        <v>17280</v>
      </c>
      <c r="H11" s="19">
        <v>18240</v>
      </c>
      <c r="I11" s="19">
        <v>30240</v>
      </c>
    </row>
    <row r="12" spans="1:9" ht="18" customHeight="1" x14ac:dyDescent="0.2">
      <c r="A12" s="17" t="s">
        <v>26</v>
      </c>
      <c r="B12" s="9"/>
      <c r="C12" s="20">
        <f t="shared" ref="C12:I12" si="0">C11/36</f>
        <v>215.55555555555554</v>
      </c>
      <c r="D12" s="20">
        <f t="shared" si="0"/>
        <v>228.88888888888889</v>
      </c>
      <c r="E12" s="20">
        <f t="shared" si="0"/>
        <v>265.55555555555554</v>
      </c>
      <c r="F12" s="20">
        <f t="shared" si="0"/>
        <v>320</v>
      </c>
      <c r="G12" s="20">
        <f t="shared" si="0"/>
        <v>480</v>
      </c>
      <c r="H12" s="20">
        <f t="shared" si="0"/>
        <v>506.66666666666669</v>
      </c>
      <c r="I12" s="20">
        <f t="shared" si="0"/>
        <v>840</v>
      </c>
    </row>
    <row r="13" spans="1:9" ht="18" customHeight="1" x14ac:dyDescent="0.2">
      <c r="A13" s="17" t="s">
        <v>27</v>
      </c>
      <c r="B13" s="9"/>
      <c r="C13" s="20">
        <f t="shared" ref="C13:I13" si="1">C11</f>
        <v>7760</v>
      </c>
      <c r="D13" s="20">
        <f t="shared" si="1"/>
        <v>8240</v>
      </c>
      <c r="E13" s="20">
        <f t="shared" si="1"/>
        <v>9560</v>
      </c>
      <c r="F13" s="20">
        <f t="shared" si="1"/>
        <v>11520</v>
      </c>
      <c r="G13" s="20">
        <f t="shared" si="1"/>
        <v>17280</v>
      </c>
      <c r="H13" s="20">
        <f t="shared" si="1"/>
        <v>18240</v>
      </c>
      <c r="I13" s="20">
        <f t="shared" si="1"/>
        <v>30240</v>
      </c>
    </row>
    <row r="14" spans="1:9" ht="7.5" customHeight="1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9" ht="19.5" customHeight="1" x14ac:dyDescent="0.2">
      <c r="A15" s="4" t="s">
        <v>28</v>
      </c>
      <c r="B15" s="4"/>
      <c r="C15" s="4"/>
      <c r="D15" s="4"/>
      <c r="E15" s="4"/>
      <c r="F15" s="4"/>
      <c r="G15" s="4"/>
      <c r="H15" s="4"/>
      <c r="I15" s="4"/>
    </row>
    <row r="16" spans="1:9" ht="27.75" customHeight="1" x14ac:dyDescent="0.2">
      <c r="A16" s="21" t="s">
        <v>29</v>
      </c>
      <c r="B16" s="9"/>
      <c r="C16" s="22" t="s">
        <v>30</v>
      </c>
      <c r="D16" s="22" t="s">
        <v>30</v>
      </c>
      <c r="E16" s="22" t="s">
        <v>31</v>
      </c>
      <c r="F16" s="22" t="s">
        <v>32</v>
      </c>
      <c r="G16" s="22" t="s">
        <v>32</v>
      </c>
      <c r="H16" s="22" t="s">
        <v>32</v>
      </c>
      <c r="I16" s="22" t="s">
        <v>33</v>
      </c>
    </row>
    <row r="17" spans="1:9" ht="18" customHeight="1" x14ac:dyDescent="0.2">
      <c r="A17" s="17" t="s">
        <v>34</v>
      </c>
      <c r="B17" s="9"/>
      <c r="C17" s="23">
        <v>2</v>
      </c>
      <c r="D17" s="23">
        <v>2</v>
      </c>
      <c r="E17" s="23">
        <v>1</v>
      </c>
      <c r="F17" s="23">
        <v>1</v>
      </c>
      <c r="G17" s="23">
        <v>1</v>
      </c>
      <c r="H17" s="23">
        <v>1</v>
      </c>
      <c r="I17" s="23">
        <v>1</v>
      </c>
    </row>
    <row r="18" spans="1:9" ht="18" customHeight="1" x14ac:dyDescent="0.2">
      <c r="A18" s="17" t="s">
        <v>35</v>
      </c>
      <c r="B18" s="9"/>
      <c r="C18" s="19">
        <v>934.5</v>
      </c>
      <c r="D18" s="19">
        <v>934.5</v>
      </c>
      <c r="E18" s="19">
        <v>1207.8</v>
      </c>
      <c r="F18" s="19">
        <v>1221</v>
      </c>
      <c r="G18" s="19">
        <v>1322.7</v>
      </c>
      <c r="H18" s="19">
        <v>1347.6</v>
      </c>
      <c r="I18" s="19">
        <v>0</v>
      </c>
    </row>
    <row r="19" spans="1:9" ht="18" customHeight="1" x14ac:dyDescent="0.2">
      <c r="A19" s="17" t="s">
        <v>36</v>
      </c>
      <c r="B19" s="9"/>
      <c r="C19" s="20">
        <f t="shared" ref="C19:I19" si="2">IF(C17=0,0,C18/C17)</f>
        <v>467.25</v>
      </c>
      <c r="D19" s="20">
        <f t="shared" si="2"/>
        <v>467.25</v>
      </c>
      <c r="E19" s="20">
        <f t="shared" si="2"/>
        <v>1207.8</v>
      </c>
      <c r="F19" s="20">
        <f t="shared" si="2"/>
        <v>1221</v>
      </c>
      <c r="G19" s="20">
        <f t="shared" si="2"/>
        <v>1322.7</v>
      </c>
      <c r="H19" s="20">
        <f t="shared" si="2"/>
        <v>1347.6</v>
      </c>
      <c r="I19" s="20">
        <f t="shared" si="2"/>
        <v>0</v>
      </c>
    </row>
    <row r="20" spans="1:9" ht="18" customHeight="1" x14ac:dyDescent="0.2">
      <c r="A20" s="17" t="s">
        <v>37</v>
      </c>
      <c r="B20" s="9"/>
      <c r="C20" s="20">
        <f t="shared" ref="C20:I20" si="3">C19/12</f>
        <v>38.9375</v>
      </c>
      <c r="D20" s="20">
        <f t="shared" si="3"/>
        <v>38.9375</v>
      </c>
      <c r="E20" s="20">
        <f t="shared" si="3"/>
        <v>100.64999999999999</v>
      </c>
      <c r="F20" s="20">
        <f t="shared" si="3"/>
        <v>101.75</v>
      </c>
      <c r="G20" s="20">
        <f t="shared" si="3"/>
        <v>110.22500000000001</v>
      </c>
      <c r="H20" s="20">
        <f t="shared" si="3"/>
        <v>112.3</v>
      </c>
      <c r="I20" s="20">
        <f t="shared" si="3"/>
        <v>0</v>
      </c>
    </row>
    <row r="21" spans="1:9" ht="7.5" customHeight="1" x14ac:dyDescent="0.2">
      <c r="A21" s="5"/>
      <c r="B21" s="5"/>
      <c r="C21" s="5"/>
      <c r="D21" s="5"/>
      <c r="E21" s="5"/>
      <c r="F21" s="5"/>
      <c r="G21" s="5"/>
      <c r="H21" s="5"/>
      <c r="I21" s="5"/>
    </row>
    <row r="22" spans="1:9" ht="19.5" customHeight="1" x14ac:dyDescent="0.2">
      <c r="A22" s="4" t="s">
        <v>38</v>
      </c>
      <c r="B22" s="4"/>
      <c r="C22" s="4"/>
      <c r="D22" s="4"/>
      <c r="E22" s="4"/>
      <c r="F22" s="4"/>
      <c r="G22" s="4"/>
      <c r="H22" s="4"/>
      <c r="I22" s="4"/>
    </row>
    <row r="23" spans="1:9" ht="18" customHeight="1" x14ac:dyDescent="0.2">
      <c r="A23" s="17" t="s">
        <v>39</v>
      </c>
      <c r="B23" s="9"/>
      <c r="C23" s="18">
        <v>360</v>
      </c>
      <c r="D23" s="18">
        <v>360</v>
      </c>
      <c r="E23" s="18">
        <v>360</v>
      </c>
      <c r="F23" s="18">
        <v>360</v>
      </c>
      <c r="G23" s="18">
        <v>360</v>
      </c>
      <c r="H23" s="18">
        <v>360</v>
      </c>
      <c r="I23" s="18">
        <v>360</v>
      </c>
    </row>
    <row r="24" spans="1:9" ht="18" customHeight="1" x14ac:dyDescent="0.2">
      <c r="A24" s="17" t="s">
        <v>40</v>
      </c>
      <c r="B24" s="9"/>
      <c r="C24" s="18">
        <v>480</v>
      </c>
      <c r="D24" s="18">
        <v>480</v>
      </c>
      <c r="E24" s="18">
        <v>480</v>
      </c>
      <c r="F24" s="18">
        <v>480</v>
      </c>
      <c r="G24" s="18">
        <v>480</v>
      </c>
      <c r="H24" s="18">
        <v>480</v>
      </c>
      <c r="I24" s="18">
        <v>480</v>
      </c>
    </row>
    <row r="25" spans="1:9" ht="18" customHeight="1" x14ac:dyDescent="0.2">
      <c r="A25" s="24" t="s">
        <v>41</v>
      </c>
      <c r="B25" s="25"/>
      <c r="C25" s="26">
        <f t="shared" ref="C25:I25" si="4">SUM(C23:C24)</f>
        <v>840</v>
      </c>
      <c r="D25" s="26">
        <f t="shared" si="4"/>
        <v>840</v>
      </c>
      <c r="E25" s="26">
        <f t="shared" si="4"/>
        <v>840</v>
      </c>
      <c r="F25" s="26">
        <f t="shared" si="4"/>
        <v>840</v>
      </c>
      <c r="G25" s="26">
        <f t="shared" si="4"/>
        <v>840</v>
      </c>
      <c r="H25" s="26">
        <f t="shared" si="4"/>
        <v>840</v>
      </c>
      <c r="I25" s="26">
        <f t="shared" si="4"/>
        <v>840</v>
      </c>
    </row>
    <row r="26" spans="1:9" ht="7.5" customHeight="1" x14ac:dyDescent="0.2">
      <c r="A26" s="5"/>
      <c r="B26" s="5"/>
      <c r="C26" s="5"/>
      <c r="D26" s="5"/>
      <c r="E26" s="5"/>
      <c r="F26" s="5"/>
      <c r="G26" s="5"/>
      <c r="H26" s="5"/>
      <c r="I26" s="5"/>
    </row>
    <row r="27" spans="1:9" ht="19.5" customHeight="1" x14ac:dyDescent="0.2">
      <c r="A27" s="4" t="s">
        <v>42</v>
      </c>
      <c r="B27" s="4"/>
      <c r="C27" s="4"/>
      <c r="D27" s="4"/>
      <c r="E27" s="4"/>
      <c r="F27" s="4"/>
      <c r="G27" s="4"/>
      <c r="H27" s="4"/>
      <c r="I27" s="4"/>
    </row>
    <row r="28" spans="1:9" ht="18" customHeight="1" x14ac:dyDescent="0.2">
      <c r="A28" s="27" t="s">
        <v>43</v>
      </c>
      <c r="B28" s="25"/>
      <c r="C28" s="20">
        <f t="shared" ref="C28:I28" si="5">C12</f>
        <v>215.55555555555554</v>
      </c>
      <c r="D28" s="20">
        <f t="shared" si="5"/>
        <v>228.88888888888889</v>
      </c>
      <c r="E28" s="20">
        <f t="shared" si="5"/>
        <v>265.55555555555554</v>
      </c>
      <c r="F28" s="20">
        <f t="shared" si="5"/>
        <v>320</v>
      </c>
      <c r="G28" s="20">
        <f t="shared" si="5"/>
        <v>480</v>
      </c>
      <c r="H28" s="20">
        <f t="shared" si="5"/>
        <v>506.66666666666669</v>
      </c>
      <c r="I28" s="20">
        <f t="shared" si="5"/>
        <v>840</v>
      </c>
    </row>
    <row r="29" spans="1:9" ht="18" customHeight="1" x14ac:dyDescent="0.2">
      <c r="A29" s="27" t="s">
        <v>44</v>
      </c>
      <c r="B29" s="25"/>
      <c r="C29" s="20">
        <f t="shared" ref="C29:I29" si="6">C20</f>
        <v>38.9375</v>
      </c>
      <c r="D29" s="20">
        <f t="shared" si="6"/>
        <v>38.9375</v>
      </c>
      <c r="E29" s="20">
        <f t="shared" si="6"/>
        <v>100.64999999999999</v>
      </c>
      <c r="F29" s="20">
        <f t="shared" si="6"/>
        <v>101.75</v>
      </c>
      <c r="G29" s="20">
        <f t="shared" si="6"/>
        <v>110.22500000000001</v>
      </c>
      <c r="H29" s="20">
        <f t="shared" si="6"/>
        <v>112.3</v>
      </c>
      <c r="I29" s="20">
        <f t="shared" si="6"/>
        <v>0</v>
      </c>
    </row>
    <row r="30" spans="1:9" ht="21.75" customHeight="1" x14ac:dyDescent="0.2">
      <c r="A30" s="28" t="s">
        <v>45</v>
      </c>
      <c r="B30" s="10"/>
      <c r="C30" s="29">
        <f t="shared" ref="C30:I30" si="7">C28+C29</f>
        <v>254.49305555555554</v>
      </c>
      <c r="D30" s="29">
        <f t="shared" si="7"/>
        <v>267.82638888888891</v>
      </c>
      <c r="E30" s="29">
        <f t="shared" si="7"/>
        <v>366.20555555555552</v>
      </c>
      <c r="F30" s="29">
        <f t="shared" si="7"/>
        <v>421.75</v>
      </c>
      <c r="G30" s="29">
        <f t="shared" si="7"/>
        <v>590.22500000000002</v>
      </c>
      <c r="H30" s="29">
        <f t="shared" si="7"/>
        <v>618.9666666666667</v>
      </c>
      <c r="I30" s="29">
        <f t="shared" si="7"/>
        <v>840</v>
      </c>
    </row>
    <row r="31" spans="1:9" ht="7.5" customHeight="1" x14ac:dyDescent="0.2">
      <c r="A31" s="5"/>
      <c r="B31" s="5"/>
      <c r="C31" s="5"/>
      <c r="D31" s="5"/>
      <c r="E31" s="5"/>
      <c r="F31" s="5"/>
      <c r="G31" s="5"/>
      <c r="H31" s="5"/>
      <c r="I31" s="5"/>
    </row>
    <row r="32" spans="1:9" ht="19.5" customHeight="1" x14ac:dyDescent="0.2">
      <c r="A32" s="4" t="s">
        <v>46</v>
      </c>
      <c r="B32" s="4"/>
      <c r="C32" s="4"/>
      <c r="D32" s="4"/>
      <c r="E32" s="4"/>
      <c r="F32" s="4"/>
      <c r="G32" s="4"/>
      <c r="H32" s="4"/>
      <c r="I32" s="4"/>
    </row>
    <row r="33" spans="1:9" ht="18" customHeight="1" x14ac:dyDescent="0.2">
      <c r="A33" s="27" t="s">
        <v>47</v>
      </c>
      <c r="B33" s="25"/>
      <c r="C33" s="20">
        <f t="shared" ref="C33:I33" si="8">C12*12</f>
        <v>2586.6666666666665</v>
      </c>
      <c r="D33" s="20">
        <f t="shared" si="8"/>
        <v>2746.6666666666665</v>
      </c>
      <c r="E33" s="20">
        <f t="shared" si="8"/>
        <v>3186.6666666666665</v>
      </c>
      <c r="F33" s="20">
        <f t="shared" si="8"/>
        <v>3840</v>
      </c>
      <c r="G33" s="20">
        <f t="shared" si="8"/>
        <v>5760</v>
      </c>
      <c r="H33" s="20">
        <f t="shared" si="8"/>
        <v>6080</v>
      </c>
      <c r="I33" s="20">
        <f t="shared" si="8"/>
        <v>10080</v>
      </c>
    </row>
    <row r="34" spans="1:9" ht="18" customHeight="1" x14ac:dyDescent="0.2">
      <c r="A34" s="27" t="s">
        <v>48</v>
      </c>
      <c r="B34" s="25"/>
      <c r="C34" s="20">
        <f t="shared" ref="C34:I34" si="9">C19</f>
        <v>467.25</v>
      </c>
      <c r="D34" s="20">
        <f t="shared" si="9"/>
        <v>467.25</v>
      </c>
      <c r="E34" s="20">
        <f t="shared" si="9"/>
        <v>1207.8</v>
      </c>
      <c r="F34" s="20">
        <f t="shared" si="9"/>
        <v>1221</v>
      </c>
      <c r="G34" s="20">
        <f t="shared" si="9"/>
        <v>1322.7</v>
      </c>
      <c r="H34" s="20">
        <f t="shared" si="9"/>
        <v>1347.6</v>
      </c>
      <c r="I34" s="20">
        <f t="shared" si="9"/>
        <v>0</v>
      </c>
    </row>
    <row r="35" spans="1:9" ht="21.75" customHeight="1" x14ac:dyDescent="0.2">
      <c r="A35" s="28" t="s">
        <v>49</v>
      </c>
      <c r="B35" s="10"/>
      <c r="C35" s="29">
        <f t="shared" ref="C35:I35" si="10">C33+C34</f>
        <v>3053.9166666666665</v>
      </c>
      <c r="D35" s="29">
        <f t="shared" si="10"/>
        <v>3213.9166666666665</v>
      </c>
      <c r="E35" s="29">
        <f t="shared" si="10"/>
        <v>4394.4666666666662</v>
      </c>
      <c r="F35" s="29">
        <f t="shared" si="10"/>
        <v>5061</v>
      </c>
      <c r="G35" s="29">
        <f t="shared" si="10"/>
        <v>7082.7</v>
      </c>
      <c r="H35" s="29">
        <f t="shared" si="10"/>
        <v>7427.6</v>
      </c>
      <c r="I35" s="29">
        <f t="shared" si="10"/>
        <v>10080</v>
      </c>
    </row>
    <row r="36" spans="1:9" ht="7.5" customHeight="1" x14ac:dyDescent="0.2">
      <c r="A36" s="5"/>
      <c r="B36" s="5"/>
      <c r="C36" s="5"/>
      <c r="D36" s="5"/>
      <c r="E36" s="5"/>
      <c r="F36" s="5"/>
      <c r="G36" s="5"/>
      <c r="H36" s="5"/>
      <c r="I36" s="5"/>
    </row>
    <row r="37" spans="1:9" ht="19.5" customHeight="1" x14ac:dyDescent="0.2">
      <c r="A37" s="4" t="s">
        <v>50</v>
      </c>
      <c r="B37" s="4"/>
      <c r="C37" s="4"/>
      <c r="D37" s="4"/>
      <c r="E37" s="4"/>
      <c r="F37" s="4"/>
      <c r="G37" s="4"/>
      <c r="H37" s="4"/>
      <c r="I37" s="4"/>
    </row>
    <row r="38" spans="1:9" ht="18" customHeight="1" x14ac:dyDescent="0.2">
      <c r="A38" s="27" t="s">
        <v>51</v>
      </c>
      <c r="B38" s="25"/>
      <c r="C38" s="20">
        <f t="shared" ref="C38:I38" si="11">C13</f>
        <v>7760</v>
      </c>
      <c r="D38" s="20">
        <f t="shared" si="11"/>
        <v>8240</v>
      </c>
      <c r="E38" s="20">
        <f t="shared" si="11"/>
        <v>9560</v>
      </c>
      <c r="F38" s="20">
        <f t="shared" si="11"/>
        <v>11520</v>
      </c>
      <c r="G38" s="20">
        <f t="shared" si="11"/>
        <v>17280</v>
      </c>
      <c r="H38" s="20">
        <f t="shared" si="11"/>
        <v>18240</v>
      </c>
      <c r="I38" s="20">
        <f t="shared" si="11"/>
        <v>30240</v>
      </c>
    </row>
    <row r="39" spans="1:9" ht="18" customHeight="1" x14ac:dyDescent="0.2">
      <c r="A39" s="27" t="s">
        <v>52</v>
      </c>
      <c r="B39" s="25"/>
      <c r="C39" s="20">
        <f t="shared" ref="C39:I39" si="12">C19*3</f>
        <v>1401.75</v>
      </c>
      <c r="D39" s="20">
        <f t="shared" si="12"/>
        <v>1401.75</v>
      </c>
      <c r="E39" s="20">
        <f t="shared" si="12"/>
        <v>3623.3999999999996</v>
      </c>
      <c r="F39" s="20">
        <f t="shared" si="12"/>
        <v>3663</v>
      </c>
      <c r="G39" s="20">
        <f t="shared" si="12"/>
        <v>3968.1000000000004</v>
      </c>
      <c r="H39" s="20">
        <f t="shared" si="12"/>
        <v>4042.7999999999997</v>
      </c>
      <c r="I39" s="20">
        <f t="shared" si="12"/>
        <v>0</v>
      </c>
    </row>
    <row r="40" spans="1:9" ht="18" customHeight="1" x14ac:dyDescent="0.2">
      <c r="A40" s="27" t="s">
        <v>53</v>
      </c>
      <c r="B40" s="25"/>
      <c r="C40" s="20">
        <f t="shared" ref="C40:I40" si="13">C25</f>
        <v>840</v>
      </c>
      <c r="D40" s="20">
        <f t="shared" si="13"/>
        <v>840</v>
      </c>
      <c r="E40" s="20">
        <f t="shared" si="13"/>
        <v>840</v>
      </c>
      <c r="F40" s="20">
        <f t="shared" si="13"/>
        <v>840</v>
      </c>
      <c r="G40" s="20">
        <f t="shared" si="13"/>
        <v>840</v>
      </c>
      <c r="H40" s="20">
        <f t="shared" si="13"/>
        <v>840</v>
      </c>
      <c r="I40" s="20">
        <f t="shared" si="13"/>
        <v>840</v>
      </c>
    </row>
    <row r="41" spans="1:9" ht="21.75" customHeight="1" x14ac:dyDescent="0.2">
      <c r="A41" s="28" t="s">
        <v>54</v>
      </c>
      <c r="B41" s="10"/>
      <c r="C41" s="29">
        <f t="shared" ref="C41:I41" si="14">C38+C39+C40</f>
        <v>10001.75</v>
      </c>
      <c r="D41" s="29">
        <f t="shared" si="14"/>
        <v>10481.75</v>
      </c>
      <c r="E41" s="29">
        <f t="shared" si="14"/>
        <v>14023.4</v>
      </c>
      <c r="F41" s="29">
        <f t="shared" si="14"/>
        <v>16023</v>
      </c>
      <c r="G41" s="29">
        <f t="shared" si="14"/>
        <v>22088.1</v>
      </c>
      <c r="H41" s="29">
        <f t="shared" si="14"/>
        <v>23122.799999999999</v>
      </c>
      <c r="I41" s="29">
        <f t="shared" si="14"/>
        <v>31080</v>
      </c>
    </row>
    <row r="42" spans="1:9" ht="9.75" customHeight="1" x14ac:dyDescent="0.2">
      <c r="A42" s="5"/>
      <c r="B42" s="5"/>
      <c r="C42" s="5"/>
      <c r="D42" s="5"/>
      <c r="E42" s="5"/>
      <c r="F42" s="5"/>
      <c r="G42" s="5"/>
      <c r="H42" s="5"/>
      <c r="I42" s="5"/>
    </row>
    <row r="43" spans="1:9" ht="19.5" customHeight="1" x14ac:dyDescent="0.2">
      <c r="A43" s="3" t="s">
        <v>55</v>
      </c>
      <c r="B43" s="3"/>
      <c r="C43" s="3"/>
      <c r="D43" s="3"/>
      <c r="E43" s="3"/>
      <c r="F43" s="3"/>
      <c r="G43" s="3"/>
      <c r="H43" s="3"/>
      <c r="I43" s="3"/>
    </row>
    <row r="44" spans="1:9" ht="27.75" customHeight="1" x14ac:dyDescent="0.2">
      <c r="A44" s="30" t="s">
        <v>56</v>
      </c>
      <c r="B44" s="2" t="s">
        <v>57</v>
      </c>
      <c r="C44" s="2"/>
      <c r="D44" s="2"/>
      <c r="E44" s="2"/>
      <c r="F44" s="2"/>
      <c r="G44" s="2"/>
      <c r="H44" s="2"/>
      <c r="I44" s="2"/>
    </row>
    <row r="45" spans="1:9" ht="27.75" customHeight="1" x14ac:dyDescent="0.2">
      <c r="A45" s="31" t="s">
        <v>58</v>
      </c>
      <c r="B45" s="1" t="s">
        <v>59</v>
      </c>
      <c r="C45" s="1"/>
      <c r="D45" s="1"/>
      <c r="E45" s="1"/>
      <c r="F45" s="1"/>
      <c r="G45" s="1"/>
      <c r="H45" s="1"/>
      <c r="I45" s="1"/>
    </row>
    <row r="46" spans="1:9" ht="27.75" customHeight="1" x14ac:dyDescent="0.2">
      <c r="A46" s="30" t="s">
        <v>60</v>
      </c>
      <c r="B46" s="2" t="s">
        <v>61</v>
      </c>
      <c r="C46" s="2"/>
      <c r="D46" s="2"/>
      <c r="E46" s="2"/>
      <c r="F46" s="2"/>
      <c r="G46" s="2"/>
      <c r="H46" s="2"/>
      <c r="I46" s="2"/>
    </row>
    <row r="47" spans="1:9" ht="27.75" customHeight="1" x14ac:dyDescent="0.2">
      <c r="A47" s="31" t="s">
        <v>62</v>
      </c>
      <c r="B47" s="1" t="s">
        <v>63</v>
      </c>
      <c r="C47" s="1"/>
      <c r="D47" s="1"/>
      <c r="E47" s="1"/>
      <c r="F47" s="1"/>
      <c r="G47" s="1"/>
      <c r="H47" s="1"/>
      <c r="I47" s="1"/>
    </row>
    <row r="48" spans="1:9" ht="27.75" customHeight="1" x14ac:dyDescent="0.2">
      <c r="A48" s="30" t="s">
        <v>64</v>
      </c>
      <c r="B48" s="2" t="s">
        <v>65</v>
      </c>
      <c r="C48" s="2"/>
      <c r="D48" s="2"/>
      <c r="E48" s="2"/>
      <c r="F48" s="2"/>
      <c r="G48" s="2"/>
      <c r="H48" s="2"/>
      <c r="I48" s="2"/>
    </row>
    <row r="49" spans="1:9" ht="27.75" customHeight="1" x14ac:dyDescent="0.2">
      <c r="A49" s="31" t="s">
        <v>66</v>
      </c>
      <c r="B49" s="1" t="s">
        <v>67</v>
      </c>
      <c r="C49" s="1"/>
      <c r="D49" s="1"/>
      <c r="E49" s="1"/>
      <c r="F49" s="1"/>
      <c r="G49" s="1"/>
      <c r="H49" s="1"/>
      <c r="I49" s="1"/>
    </row>
    <row r="50" spans="1:9" ht="27.75" customHeight="1" x14ac:dyDescent="0.2">
      <c r="A50" s="30" t="s">
        <v>68</v>
      </c>
      <c r="B50" s="2" t="s">
        <v>69</v>
      </c>
      <c r="C50" s="2"/>
      <c r="D50" s="2"/>
      <c r="E50" s="2"/>
      <c r="F50" s="2"/>
      <c r="G50" s="2"/>
      <c r="H50" s="2"/>
      <c r="I50" s="2"/>
    </row>
    <row r="51" spans="1:9" ht="27.75" customHeight="1" x14ac:dyDescent="0.2">
      <c r="A51" s="31" t="s">
        <v>70</v>
      </c>
      <c r="B51" s="1" t="s">
        <v>71</v>
      </c>
      <c r="C51" s="1"/>
      <c r="D51" s="1"/>
      <c r="E51" s="1"/>
      <c r="F51" s="1"/>
      <c r="G51" s="1"/>
      <c r="H51" s="1"/>
      <c r="I51" s="1"/>
    </row>
    <row r="52" spans="1:9" ht="27.75" customHeight="1" x14ac:dyDescent="0.2">
      <c r="A52" s="30" t="s">
        <v>72</v>
      </c>
      <c r="B52" s="2" t="s">
        <v>73</v>
      </c>
      <c r="C52" s="2"/>
      <c r="D52" s="2"/>
      <c r="E52" s="2"/>
      <c r="F52" s="2"/>
      <c r="G52" s="2"/>
      <c r="H52" s="2"/>
      <c r="I52" s="2"/>
    </row>
  </sheetData>
  <mergeCells count="27">
    <mergeCell ref="B51:I51"/>
    <mergeCell ref="B52:I52"/>
    <mergeCell ref="B46:I46"/>
    <mergeCell ref="B47:I47"/>
    <mergeCell ref="B48:I48"/>
    <mergeCell ref="B49:I49"/>
    <mergeCell ref="B50:I50"/>
    <mergeCell ref="A37:I37"/>
    <mergeCell ref="A42:I42"/>
    <mergeCell ref="A43:I43"/>
    <mergeCell ref="B44:I44"/>
    <mergeCell ref="B45:I45"/>
    <mergeCell ref="A26:I26"/>
    <mergeCell ref="A27:I27"/>
    <mergeCell ref="A31:I31"/>
    <mergeCell ref="A32:I32"/>
    <mergeCell ref="A36:I36"/>
    <mergeCell ref="A9:I9"/>
    <mergeCell ref="A14:I14"/>
    <mergeCell ref="A15:I15"/>
    <mergeCell ref="A21:I21"/>
    <mergeCell ref="A22:I22"/>
    <mergeCell ref="A1:I1"/>
    <mergeCell ref="A2:I2"/>
    <mergeCell ref="A3:I3"/>
    <mergeCell ref="A4:I4"/>
    <mergeCell ref="A8:I8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Pricing Model</vt:lpstr>
      <vt:lpstr>'Pricing Model'!Print_Titles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Claudio Da Rocha</cp:lastModifiedBy>
  <cp:revision>0</cp:revision>
  <dcterms:created xsi:type="dcterms:W3CDTF">2026-04-13T06:17:34Z</dcterms:created>
  <dcterms:modified xsi:type="dcterms:W3CDTF">2026-04-13T06:32:27Z</dcterms:modified>
  <dc:language>en-US</dc:language>
</cp:coreProperties>
</file>